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ommits" sheetId="2" state="visible" r:id="rId4"/>
    <sheet name="Documents" sheetId="3" state="visible" r:id="rId5"/>
    <sheet name="Fixes" sheetId="4" state="visible" r:id="rId6"/>
    <sheet name="Checks" sheetId="5" state="visible" r:id="rId7"/>
    <sheet name="Private fil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<sst xmlns="http://schemas.openxmlformats.org/spreadsheetml/2006/main" count="413" uniqueCount="228">
  <si>
    <t xml:space="preserve">7+1 repository after the clean-up of 28 October 2026</t>
  </si>
  <si>
    <t xml:space="preserve">github.com/once-ere/7plus1, branch main: the state at commit 102f399 (2026-10-28 13:15 PDT)</t>
  </si>
  <si>
    <t xml:space="preserve">Item</t>
  </si>
  <si>
    <t xml:space="preserve">Value</t>
  </si>
  <si>
    <t xml:space="preserve">Where it comes from</t>
  </si>
  <si>
    <t xml:space="preserve">Commit described (the latest when the spreadsheet was made)</t>
  </si>
  <si>
    <t xml:space="preserve">Commits, last row</t>
  </si>
  <si>
    <t xml:space="preserve">Commits of 28 October 2026 up to the commit described</t>
  </si>
  <si>
    <t xml:space="preserve">Commits</t>
  </si>
  <si>
    <t xml:space="preserve">File changes in these commits</t>
  </si>
  <si>
    <t xml:space="preserve">Commits, total (a file changed twice counts twice)</t>
  </si>
  <si>
    <t xml:space="preserve">Documents (Markdown, LaTeX and PDF each)</t>
  </si>
  <si>
    <t xml:space="preserve">Documents</t>
  </si>
  <si>
    <t xml:space="preserve">PDF pages</t>
  </si>
  <si>
    <t xml:space="preserve">Documents, total</t>
  </si>
  <si>
    <t xml:space="preserve">Loose lines in the first build of 28 October</t>
  </si>
  <si>
    <t xml:space="preserve">Loose lines after commit 0654dcd</t>
  </si>
  <si>
    <t xml:space="preserve">Loose lines now</t>
  </si>
  <si>
    <t xml:space="preserve">Overflowing lines now</t>
  </si>
  <si>
    <t xml:space="preserve">LaTeX errors now</t>
  </si>
  <si>
    <t xml:space="preserve">Paragraphs rewritten (display, code block or rewording)</t>
  </si>
  <si>
    <t xml:space="preserve">Fixes</t>
  </si>
  <si>
    <t xml:space="preserve">Check programs</t>
  </si>
  <si>
    <t xml:space="preserve">Checks</t>
  </si>
  <si>
    <t xml:space="preserve">Check programs that exit with 0</t>
  </si>
  <si>
    <t xml:space="preserve">Results reported True by the programs</t>
  </si>
  <si>
    <t xml:space="preserve">Checks, total</t>
  </si>
  <si>
    <t xml:space="preserve">Results reported False by the programs</t>
  </si>
  <si>
    <t xml:space="preserve">Checks in the notebook 7+1.nb</t>
  </si>
  <si>
    <t xml:space="preserve">Checks, the notebook</t>
  </si>
  <si>
    <t xml:space="preserve">Notebook checks that returned True</t>
  </si>
  <si>
    <t xml:space="preserve">Notebook message (error) cells</t>
  </si>
  <si>
    <t xml:space="preserve">Markdown and LaTeX files identical after a fresh rebuild</t>
  </si>
  <si>
    <t xml:space="preserve">Checks, fresh clone</t>
  </si>
  <si>
    <t xml:space="preserve">PDFs with the same text and page count after a fresh rebuild</t>
  </si>
  <si>
    <t xml:space="preserve">Private files on GitHub</t>
  </si>
  <si>
    <t xml:space="preserve">Private files</t>
  </si>
  <si>
    <t xml:space="preserve">Every value in column B is a formula that reads the other sheets.</t>
  </si>
  <si>
    <t xml:space="preserve">Commit</t>
  </si>
  <si>
    <t xml:space="preserve">Date and time (PDT)</t>
  </si>
  <si>
    <t xml:space="preserve">Title</t>
  </si>
  <si>
    <t xml:space="preserve">What it contains</t>
  </si>
  <si>
    <t xml:space="preserve">Files changed</t>
  </si>
  <si>
    <t xml:space="preserve">Lines added</t>
  </si>
  <si>
    <t xml:space="preserve">Lines removed</t>
  </si>
  <si>
    <t xml:space="preserve">0654dcd</t>
  </si>
  <si>
    <t xml:space="preserve">Sections 25-26: the auxiliary torus, the world brane, and the radion on the 4-torus and the 4-sphere</t>
  </si>
  <si>
    <t xml:space="preserve">Sections 25–26 of 7+1.nb and the AUXILIARY_TORUS, WORLD_BRANE and RADION documents (each with its symbols and provenance files)</t>
  </si>
  <si>
    <t xml:space="preserve">54862f0</t>
  </si>
  <si>
    <t xml:space="preserve">Documentation tools: keep the evaluation record in tools/eval_log_7p1.txt for fresh-clone rebuilds</t>
  </si>
  <si>
    <t xml:space="preserve">The record of the evaluation of 7+1.nb, kept in the repository so that a fresh clone rebuilds the documents identically</t>
  </si>
  <si>
    <t xml:space="preserve">93c500f</t>
  </si>
  <si>
    <t xml:space="preserve">Documentation: no loose lines left in any PDF; long file names and hashes may break</t>
  </si>
  <si>
    <t xml:space="preserve">The clean-up of the loose lines of the documents</t>
  </si>
  <si>
    <t xml:space="preserve">102f399</t>
  </si>
  <si>
    <t xml:space="preserve">Documentation: count every check of tools/ref_coupled.py and tools/ref_torus_brane.py</t>
  </si>
  <si>
    <t xml:space="preserve">Corrected check counts (50 and 38 instead of 49 and 37), found while this spreadsheet was being prepared</t>
  </si>
  <si>
    <t xml:space="preserve">Total</t>
  </si>
  <si>
    <t xml:space="preserve">Source: git log and git show --shortstat of github.com/once-ere/7plus1, branch main. A file changed in two commits is counted in both. Commit 102f399 corrects two check counts that were found while this spreadsheet was being prepared; the spreadsheet and its documents were added in the next commit.</t>
  </si>
  <si>
    <t xml:space="preserve">Document</t>
  </si>
  <si>
    <t xml:space="preserve">Kind</t>
  </si>
  <si>
    <t xml:space="preserve">Covers (sections of 7+1.nb)</t>
  </si>
  <si>
    <t xml:space="preserve">Pages</t>
  </si>
  <si>
    <t xml:space="preserve">Loose lines, first build of 28 Oct</t>
  </si>
  <si>
    <t xml:space="preserve">Loose lines after 0654dcd</t>
  </si>
  <si>
    <t xml:space="preserve">Changed by 93c500f</t>
  </si>
  <si>
    <t xml:space="preserve">Changed by 102f399</t>
  </si>
  <si>
    <t xml:space="preserve">README</t>
  </si>
  <si>
    <t xml:space="preserve">Main</t>
  </si>
  <si>
    <t xml:space="preserve">0–27 (the whole notebook)</t>
  </si>
  <si>
    <t xml:space="preserve">No</t>
  </si>
  <si>
    <t xml:space="preserve">Yes</t>
  </si>
  <si>
    <t xml:space="preserve">README_SYMBOLS</t>
  </si>
  <si>
    <t xml:space="preserve">Symbols</t>
  </si>
  <si>
    <t xml:space="preserve">README_PROVENANCE</t>
  </si>
  <si>
    <t xml:space="preserve">Provenance</t>
  </si>
  <si>
    <t xml:space="preserve">DIRAC16COMPLEX</t>
  </si>
  <si>
    <t xml:space="preserve">7–10</t>
  </si>
  <si>
    <t xml:space="preserve">DIRAC16COMPLEX_SYMBOLS</t>
  </si>
  <si>
    <t xml:space="preserve">DIRAC16COMPLEX_PROVENANCE</t>
  </si>
  <si>
    <t xml:space="preserve">GRAVITY</t>
  </si>
  <si>
    <t xml:space="preserve">11–14</t>
  </si>
  <si>
    <t xml:space="preserve">GRAVITY_SYMBOLS</t>
  </si>
  <si>
    <t xml:space="preserve">GRAVITY_PROVENANCE</t>
  </si>
  <si>
    <t xml:space="preserve">KOHN_SHAM_GRAVITY</t>
  </si>
  <si>
    <t xml:space="preserve">15–16</t>
  </si>
  <si>
    <t xml:space="preserve">KOHN_SHAM_GRAVITY_SYMBOLS</t>
  </si>
  <si>
    <t xml:space="preserve">KOHN_SHAM_GRAVITY_PROVENANCE</t>
  </si>
  <si>
    <t xml:space="preserve">STANDARD_MODEL</t>
  </si>
  <si>
    <t xml:space="preserve">17–19</t>
  </si>
  <si>
    <t xml:space="preserve">STANDARD_MODEL_SYMBOLS</t>
  </si>
  <si>
    <t xml:space="preserve">STANDARD_MODEL_PROVENANCE</t>
  </si>
  <si>
    <t xml:space="preserve">COUPLED_SOLUTIONS</t>
  </si>
  <si>
    <t xml:space="preserve">20–23</t>
  </si>
  <si>
    <t xml:space="preserve">COUPLED_SOLUTIONS_SYMBOLS</t>
  </si>
  <si>
    <t xml:space="preserve">COUPLED_SOLUTIONS_PROVENANCE</t>
  </si>
  <si>
    <t xml:space="preserve">DARK_SECTOR</t>
  </si>
  <si>
    <t xml:space="preserve">24</t>
  </si>
  <si>
    <t xml:space="preserve">DARK_SECTOR_SYMBOLS</t>
  </si>
  <si>
    <t xml:space="preserve">DARK_SECTOR_PROVENANCE</t>
  </si>
  <si>
    <t xml:space="preserve">AUXILIARY_TORUS</t>
  </si>
  <si>
    <t xml:space="preserve">25, with 14–24 and 26</t>
  </si>
  <si>
    <t xml:space="preserve">AUXILIARY_TORUS_SYMBOLS</t>
  </si>
  <si>
    <t xml:space="preserve">AUXILIARY_TORUS_PROVENANCE</t>
  </si>
  <si>
    <t xml:space="preserve">WORLD_BRANE</t>
  </si>
  <si>
    <t xml:space="preserve">25–26, with 17–24</t>
  </si>
  <si>
    <t xml:space="preserve">WORLD_BRANE_SYMBOLS</t>
  </si>
  <si>
    <t xml:space="preserve">WORLD_BRANE_PROVENANCE</t>
  </si>
  <si>
    <t xml:space="preserve">RADION</t>
  </si>
  <si>
    <t xml:space="preserve">26</t>
  </si>
  <si>
    <t xml:space="preserve">RADION_SYMBOLS</t>
  </si>
  <si>
    <t xml:space="preserve">RADION_PROVENANCE</t>
  </si>
  <si>
    <t xml:space="preserve">Total (30 documents)</t>
  </si>
  <si>
    <t xml:space="preserve">Sources: the LaTeX logs of tools/make_docs.py. "First build of 28 Oct": the first full build of the documents on 28 October 2026, before commit 0654dcd; "after 0654dcd": the rebuild of a fresh clone of 0654dcd; "now": the rebuild of a fresh clone of 102f399. Pages: pdfinfo. A loose line is an underfull line (TeX badness above 1000); an overflowing line is an overfull one.</t>
  </si>
  <si>
    <t xml:space="preserve">#</t>
  </si>
  <si>
    <t xml:space="preserve">Section of the document</t>
  </si>
  <si>
    <t xml:space="preserve">How</t>
  </si>
  <si>
    <t xml:space="preserve">Change</t>
  </si>
  <si>
    <t xml:space="preserve">all 30 documents</t>
  </si>
  <si>
    <t xml:space="preserve">—</t>
  </si>
  <si>
    <t xml:space="preserve">Line breaking</t>
  </si>
  <si>
    <t xml:space="preserve">Code may break after / and _ and \, long hashes every 8 characters; headings are set ragged right</t>
  </si>
  <si>
    <t xml:space="preserve">12.4 The nine-channel self-coupling and Kohn–Sham theory in gravitational fields</t>
  </si>
  <si>
    <t xml:space="preserve">Display</t>
  </si>
  <si>
    <t xml:space="preserve">The definitions of Θ^K, σ_r and Θ_K</t>
  </si>
  <si>
    <t xml:space="preserve">3.4 Grassmann algebra, quantization and the canonical anticommutators</t>
  </si>
  <si>
    <t xml:space="preserve">The product and the left derivative of the Grassmann algebra</t>
  </si>
  <si>
    <t xml:space="preserve">2.2 The reference notebook Einstein-Lovelock-7+1-Nash.nb</t>
  </si>
  <si>
    <t xml:space="preserve">Code block</t>
  </si>
  <si>
    <t xml:space="preserve">The xAct definitions CD = LC[g], RiemannCD, RicciCD, RicciScalarCD, EinsteinCD</t>
  </si>
  <si>
    <t xml:space="preserve">4. Derivations</t>
  </si>
  <si>
    <t xml:space="preserve">The mixing angle in matter (MSW)</t>
  </si>
  <si>
    <t xml:space="preserve">The mode equation of pair creation</t>
  </si>
  <si>
    <t xml:space="preserve">4. The coupled field equations and the energy–momentum tensors</t>
  </si>
  <si>
    <t xml:space="preserve">The minisuperspace action and the identities of its variation</t>
  </si>
  <si>
    <t xml:space="preserve">The comoving energy of one massless particle; the minisuperspace action and its identities</t>
  </si>
  <si>
    <t xml:space="preserve">6.1 From the solutions of regimes I and II: overproduction</t>
  </si>
  <si>
    <t xml:space="preserve">The Einstein-frame mass of a Kaluza–Klein level and its coupling to the radion, g_n = |dM_E/dφ|</t>
  </si>
  <si>
    <t xml:space="preserve">6.2 Mode expansion and canonical anticommutators</t>
  </si>
  <si>
    <t xml:space="preserve">The five momenta of the exact mode sum</t>
  </si>
  <si>
    <t xml:space="preserve">3.3 Real plane-wave spinors</t>
  </si>
  <si>
    <t xml:space="preserve">The orthogonal matrix U of the spinors and U^T h U</t>
  </si>
  <si>
    <t xml:space="preserve">9. How to reproduce</t>
  </si>
  <si>
    <t xml:space="preserve">Reworded</t>
  </si>
  <si>
    <t xml:space="preserve">The generator command and its files</t>
  </si>
  <si>
    <t xml:space="preserve">1. The task</t>
  </si>
  <si>
    <t xml:space="preserve">The item on the frame matrices and the spin connection</t>
  </si>
  <si>
    <t xml:space="preserve">The completeness of the Θ_K and the Fierz identity</t>
  </si>
  <si>
    <t xml:space="preserve">6. The second stage: sections 7–10 of 7+1.nb</t>
  </si>
  <si>
    <t xml:space="preserve">The notation of sections 7–10</t>
  </si>
  <si>
    <t xml:space="preserve">1. Results at a glance</t>
  </si>
  <si>
    <t xml:space="preserve">The electroweak scale and the tree-level masses</t>
  </si>
  <si>
    <t xml:space="preserve">1. Conventions</t>
  </si>
  <si>
    <t xml:space="preserve">The matrix notation</t>
  </si>
  <si>
    <t xml:space="preserve">8 documents: README, README_PROVENANCE, COUPLED_SOLUTIONS, AUXILIARY_TORUS and WORLD_BRANE, and the provenance files of the last three</t>
  </si>
  <si>
    <t xml:space="preserve">Correction</t>
  </si>
  <si>
    <t xml:space="preserve">Every check of tools/ref_coupled.py (50) and tools/ref_torus_brane.py (38) is now counted and listed; before, 49 and 37. A ninth document, DIRAC16COMPLEX_PROVENANCE, changed only in the SHA-256 of tools/doc_stage3_common.py that it records</t>
  </si>
  <si>
    <t xml:space="preserve">Every rewritten paragraph keeps its content: long inline formulas were moved into displayed equations, or the sentence was reworded so that TeX can break its lines evenly.</t>
  </si>
  <si>
    <t xml:space="preserve">Program</t>
  </si>
  <si>
    <t xml:space="preserve">What it checks</t>
  </si>
  <si>
    <t xml:space="preserve">Exit code</t>
  </si>
  <si>
    <t xml:space="preserve">Results reported True</t>
  </si>
  <si>
    <t xml:space="preserve">Results reported False</t>
  </si>
  <si>
    <t xml:space="preserve">Verdict</t>
  </si>
  <si>
    <t xml:space="preserve">tools/verify_7p1_nb.py</t>
  </si>
  <si>
    <t xml:space="preserve">The evaluated 7+1.nb: every check output, the printed numbers against the Python programs, the earlier sections against their backups</t>
  </si>
  <si>
    <t xml:space="preserve">All cross-checks passed</t>
  </si>
  <si>
    <t xml:space="preserve">tools/ref44.py</t>
  </si>
  <si>
    <t xml:space="preserve">Rebuilds the objects of 4+4.nb</t>
  </si>
  <si>
    <t xml:space="preserve">All printed results True</t>
  </si>
  <si>
    <t xml:space="preserve">tools/ref71.py</t>
  </si>
  <si>
    <t xml:space="preserve">Rebuilds the octonions and the Clifford matrices of 7+1.nb</t>
  </si>
  <si>
    <t xml:space="preserve">tools/extra71.py</t>
  </si>
  <si>
    <t xml:space="preserve">Further identities: boosts, rotations, the classification of the nine signatures, real solutions</t>
  </si>
  <si>
    <t xml:space="preserve">tools/ref_dirac16.py</t>
  </si>
  <si>
    <t xml:space="preserve">Sections 7–9: dirac16complex, Kohn–Sham, chiral Kohn–Sham</t>
  </si>
  <si>
    <t xml:space="preserve">All checks passed</t>
  </si>
  <si>
    <t xml:space="preserve">tools/ref_gravity.py</t>
  </si>
  <si>
    <t xml:space="preserve">Sections 11–14: gravity</t>
  </si>
  <si>
    <t xml:space="preserve">tools/ref_ks_gravity.py</t>
  </si>
  <si>
    <t xml:space="preserve">Sections 15–16: Kohn–Sham theory in gravitational fields</t>
  </si>
  <si>
    <t xml:space="preserve">tools/ref_sm.py</t>
  </si>
  <si>
    <t xml:space="preserve">Sections 17–19: the Standard Model</t>
  </si>
  <si>
    <t xml:space="preserve">tools/ref_coupled.py</t>
  </si>
  <si>
    <t xml:space="preserve">Sections 20–23: the coupled field equations and their solutions</t>
  </si>
  <si>
    <t xml:space="preserve">tools/ref_dark.py</t>
  </si>
  <si>
    <t xml:space="preserve">Section 24: the dark sector</t>
  </si>
  <si>
    <t xml:space="preserve">tools/ref_torus_brane.py</t>
  </si>
  <si>
    <t xml:space="preserve">Section 25: the auxiliary torus and the world brane</t>
  </si>
  <si>
    <t xml:space="preserve">tools/ref_radion.py</t>
  </si>
  <si>
    <t xml:space="preserve">Section 26: the radion</t>
  </si>
  <si>
    <t xml:space="preserve">Total (12 programs)</t>
  </si>
  <si>
    <t xml:space="preserve">The notebook 7+1.nb</t>
  </si>
  <si>
    <t xml:space="preserve">Checks in the notebook</t>
  </si>
  <si>
    <t xml:space="preserve">Checks that returned True</t>
  </si>
  <si>
    <t xml:space="preserve">… printed where they stand</t>
  </si>
  <si>
    <t xml:space="preserve">… made by frameChecks (section 13.1), printed by the summary table</t>
  </si>
  <si>
    <t xml:space="preserve">Message (error) cells</t>
  </si>
  <si>
    <t xml:space="preserve">Input cells</t>
  </si>
  <si>
    <t xml:space="preserve">Output cells</t>
  </si>
  <si>
    <t xml:space="preserve">Evaluation time (seconds)</t>
  </si>
  <si>
    <t xml:space="preserve">Wolfram version</t>
  </si>
  <si>
    <t xml:space="preserve">15.0.1 for Microsoft Windows (64-bit), fresh kernel</t>
  </si>
  <si>
    <t xml:space="preserve">Fresh clone of 102f399, rebuilt from scratch</t>
  </si>
  <si>
    <t xml:space="preserve">Files tracked in the repository</t>
  </si>
  <si>
    <t xml:space="preserve">Markdown and LaTeX files compared</t>
  </si>
  <si>
    <t xml:space="preserve">… identical byte for byte</t>
  </si>
  <si>
    <t xml:space="preserve">PDFs compared</t>
  </si>
  <si>
    <t xml:space="preserve">… with the same text and page count</t>
  </si>
  <si>
    <t xml:space="preserve">Documents with layout problems</t>
  </si>
  <si>
    <t xml:space="preserve">Other files changed by the rebuild</t>
  </si>
  <si>
    <t xml:space="preserve">Sources: the outputs of the programs in the rebuild of a fresh clone (build/docs/runs.json); "Results reported True" counts the lines of each output that end in ": True" or in "(True)", "Results reported False" those that end in ": False" or in "(False)". The notebook was evaluated on 2026-10-28 08:57:47 PDT (tools/eval_log_7p1.txt).</t>
  </si>
  <si>
    <t xml:space="preserve">File</t>
  </si>
  <si>
    <t xml:space="preserve">What it is</t>
  </si>
  <si>
    <t xml:space="preserve">On GitHub?</t>
  </si>
  <si>
    <t xml:space="preserve">How it is kept out</t>
  </si>
  <si>
    <t xml:space="preserve">The radion note (PDF)</t>
  </si>
  <si>
    <t xml:space="preserve">A PDF printout of the author’s e-mail of 28 October 2026 on the radion</t>
  </si>
  <si>
    <t xml:space="preserve">Listed in .git/info/exclude on the author’s computer</t>
  </si>
  <si>
    <t xml:space="preserve">The vielbein notes (PDF)</t>
  </si>
  <si>
    <t xml:space="preserve">A PDF printout of the author’s private notes on vielbeins in n dimensions</t>
  </si>
  <si>
    <t xml:space="preserve">A third private PDF</t>
  </si>
  <si>
    <t xml:space="preserve">Private working material of the author</t>
  </si>
  <si>
    <t xml:space="preserve">Listed in .gitignore</t>
  </si>
  <si>
    <t xml:space="preserve">.gitignore</t>
  </si>
  <si>
    <t xml:space="preserve">The ignore rules of the repository</t>
  </si>
  <si>
    <t xml:space="preserve">Lists itself</t>
  </si>
  <si>
    <t xml:space="preserve">Source: git ls-files of a fresh clone of 102f399.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</si>
</sst>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yyyy\-mm\-dd\ hh:mm"/>
    <numFmt numFmtId="167" formatCode="General"/>
    <numFmt numFmtId="168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B4D"/>
      <name val="Arial"/>
      <family val="0"/>
      <charset val="1"/>
    </font>
    <font>
      <i val="true"/>
      <sz val="10"/>
      <color rgb="FF4A5A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4A5A66"/>
      <name val="Arial"/>
      <family val="0"/>
      <charset val="1"/>
    </font>
    <font>
      <i val="true"/>
      <sz val="9"/>
      <color rgb="FF4A5A66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5F"/>
        <bgColor rgb="FF1F3B4D"/>
      </patternFill>
    </fill>
    <fill>
      <patternFill patternType="solid">
        <fgColor rgb="FFE4EEF1"/>
        <bgColor rgb="FFD5E5EA"/>
      </patternFill>
    </fill>
    <fill>
      <patternFill patternType="solid">
        <fgColor rgb="FFD5E5EA"/>
        <bgColor rgb="FFE4EEF1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1F4E5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4EEF1"/>
      <rgbColor rgb="FF660066"/>
      <rgbColor rgb="FFFF8080"/>
      <rgbColor rgb="FF0066CC"/>
      <rgbColor rgb="FFD5E5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A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1F3B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str">
        <f aca="false">Commits!A5</f>
        <v>102f399</v>
      </c>
      <c r="C5" s="6" t="s">
        <v>6</v>
      </c>
    </row>
    <row r="6" customFormat="false" ht="15" hidden="false" customHeight="false" outlineLevel="0" collapsed="false">
      <c r="A6" s="4" t="s">
        <v>7</v>
      </c>
      <c r="B6" s="5" t="n">
        <f aca="false">COUNTA(Commits!A2:A5)</f>
        <v>4</v>
      </c>
      <c r="C6" s="6" t="s">
        <v>8</v>
      </c>
    </row>
    <row r="7" customFormat="false" ht="15" hidden="false" customHeight="false" outlineLevel="0" collapsed="false">
      <c r="A7" s="4" t="s">
        <v>9</v>
      </c>
      <c r="B7" s="7" t="n">
        <f aca="false">Commits!E6</f>
        <v>206</v>
      </c>
      <c r="C7" s="6" t="s">
        <v>10</v>
      </c>
    </row>
    <row r="8" customFormat="false" ht="15" hidden="false" customHeight="false" outlineLevel="0" collapsed="false">
      <c r="A8" s="4" t="s">
        <v>11</v>
      </c>
      <c r="B8" s="5" t="n">
        <f aca="false">COUNTA(Documents!A2:A31)</f>
        <v>30</v>
      </c>
      <c r="C8" s="6" t="s">
        <v>12</v>
      </c>
    </row>
    <row r="9" customFormat="false" ht="15" hidden="false" customHeight="false" outlineLevel="0" collapsed="false">
      <c r="A9" s="4" t="s">
        <v>13</v>
      </c>
      <c r="B9" s="7" t="n">
        <f aca="false">Documents!D32</f>
        <v>478</v>
      </c>
      <c r="C9" s="6" t="s">
        <v>14</v>
      </c>
    </row>
    <row r="10" customFormat="false" ht="15" hidden="false" customHeight="false" outlineLevel="0" collapsed="false">
      <c r="A10" s="4" t="s">
        <v>15</v>
      </c>
      <c r="B10" s="5" t="n">
        <f aca="false">Documents!E32</f>
        <v>40</v>
      </c>
      <c r="C10" s="6" t="s">
        <v>14</v>
      </c>
    </row>
    <row r="11" customFormat="false" ht="15" hidden="false" customHeight="false" outlineLevel="0" collapsed="false">
      <c r="A11" s="4" t="s">
        <v>16</v>
      </c>
      <c r="B11" s="5" t="n">
        <f aca="false">Documents!F32</f>
        <v>12</v>
      </c>
      <c r="C11" s="6" t="s">
        <v>14</v>
      </c>
    </row>
    <row r="12" customFormat="false" ht="15" hidden="false" customHeight="false" outlineLevel="0" collapsed="false">
      <c r="A12" s="4" t="s">
        <v>17</v>
      </c>
      <c r="B12" s="5" t="n">
        <f aca="false">Documents!G32</f>
        <v>0</v>
      </c>
      <c r="C12" s="6" t="s">
        <v>14</v>
      </c>
    </row>
    <row r="13" customFormat="false" ht="15" hidden="false" customHeight="false" outlineLevel="0" collapsed="false">
      <c r="A13" s="4" t="s">
        <v>18</v>
      </c>
      <c r="B13" s="5" t="n">
        <f aca="false">Documents!H32</f>
        <v>0</v>
      </c>
      <c r="C13" s="6" t="s">
        <v>14</v>
      </c>
    </row>
    <row r="14" customFormat="false" ht="15" hidden="false" customHeight="false" outlineLevel="0" collapsed="false">
      <c r="A14" s="4" t="s">
        <v>19</v>
      </c>
      <c r="B14" s="5" t="n">
        <f aca="false">Documents!I32</f>
        <v>0</v>
      </c>
      <c r="C14" s="6" t="s">
        <v>14</v>
      </c>
    </row>
    <row r="15" customFormat="false" ht="15" hidden="false" customHeight="false" outlineLevel="0" collapsed="false">
      <c r="A15" s="4" t="s">
        <v>20</v>
      </c>
      <c r="B15" s="5" t="n">
        <f aca="false">COUNTIF(Fixes!D2:D19,"Display")+COUNTIF(Fixes!D2:D19,"Code block")+COUNTIF(Fixes!D2:D19,"Reworded")</f>
        <v>16</v>
      </c>
      <c r="C15" s="6" t="s">
        <v>21</v>
      </c>
    </row>
    <row r="16" customFormat="false" ht="15" hidden="false" customHeight="false" outlineLevel="0" collapsed="false">
      <c r="A16" s="4" t="s">
        <v>22</v>
      </c>
      <c r="B16" s="5" t="n">
        <f aca="false">COUNTA(Checks!A2:A13)</f>
        <v>12</v>
      </c>
      <c r="C16" s="6" t="s">
        <v>23</v>
      </c>
    </row>
    <row r="17" customFormat="false" ht="15" hidden="false" customHeight="false" outlineLevel="0" collapsed="false">
      <c r="A17" s="4" t="s">
        <v>24</v>
      </c>
      <c r="B17" s="5" t="n">
        <f aca="false">COUNTIF(Checks!C2:C13,0)</f>
        <v>12</v>
      </c>
      <c r="C17" s="6" t="s">
        <v>23</v>
      </c>
    </row>
    <row r="18" customFormat="false" ht="15" hidden="false" customHeight="false" outlineLevel="0" collapsed="false">
      <c r="A18" s="4" t="s">
        <v>25</v>
      </c>
      <c r="B18" s="5" t="n">
        <f aca="false">Checks!D14</f>
        <v>504</v>
      </c>
      <c r="C18" s="6" t="s">
        <v>26</v>
      </c>
    </row>
    <row r="19" customFormat="false" ht="15" hidden="false" customHeight="false" outlineLevel="0" collapsed="false">
      <c r="A19" s="4" t="s">
        <v>27</v>
      </c>
      <c r="B19" s="5" t="n">
        <f aca="false">Checks!E14</f>
        <v>0</v>
      </c>
      <c r="C19" s="6" t="s">
        <v>26</v>
      </c>
    </row>
    <row r="20" customFormat="false" ht="15" hidden="false" customHeight="false" outlineLevel="0" collapsed="false">
      <c r="A20" s="4" t="s">
        <v>28</v>
      </c>
      <c r="B20" s="5" t="n">
        <f aca="false">Checks!B17</f>
        <v>479</v>
      </c>
      <c r="C20" s="6" t="s">
        <v>29</v>
      </c>
    </row>
    <row r="21" customFormat="false" ht="15" hidden="false" customHeight="false" outlineLevel="0" collapsed="false">
      <c r="A21" s="4" t="s">
        <v>30</v>
      </c>
      <c r="B21" s="5" t="n">
        <f aca="false">Checks!B18</f>
        <v>479</v>
      </c>
      <c r="C21" s="6" t="s">
        <v>29</v>
      </c>
    </row>
    <row r="22" customFormat="false" ht="15" hidden="false" customHeight="false" outlineLevel="0" collapsed="false">
      <c r="A22" s="4" t="s">
        <v>31</v>
      </c>
      <c r="B22" s="5" t="n">
        <f aca="false">Checks!B21</f>
        <v>0</v>
      </c>
      <c r="C22" s="6" t="s">
        <v>29</v>
      </c>
    </row>
    <row r="23" customFormat="false" ht="15" hidden="false" customHeight="false" outlineLevel="0" collapsed="false">
      <c r="A23" s="4" t="s">
        <v>32</v>
      </c>
      <c r="B23" s="5" t="str">
        <f aca="false">Checks!B30&amp;" of "&amp;Checks!B29</f>
        <v>60 of 60</v>
      </c>
      <c r="C23" s="6" t="s">
        <v>33</v>
      </c>
    </row>
    <row r="24" customFormat="false" ht="15" hidden="false" customHeight="false" outlineLevel="0" collapsed="false">
      <c r="A24" s="4" t="s">
        <v>34</v>
      </c>
      <c r="B24" s="5" t="str">
        <f aca="false">Checks!B32&amp;" of "&amp;Checks!B31</f>
        <v>30 of 30</v>
      </c>
      <c r="C24" s="6" t="s">
        <v>33</v>
      </c>
    </row>
    <row r="25" customFormat="false" ht="15" hidden="false" customHeight="false" outlineLevel="0" collapsed="false">
      <c r="A25" s="4" t="s">
        <v>35</v>
      </c>
      <c r="B25" s="5" t="n">
        <f aca="false">COUNTIF('Private files'!C2:C5,"Yes")</f>
        <v>0</v>
      </c>
      <c r="C25" s="6" t="s">
        <v>36</v>
      </c>
    </row>
    <row r="27" customFormat="false" ht="16.5" hidden="false" customHeight="true" outlineLevel="0" collapsed="false">
      <c r="A27" s="8" t="s">
        <v>37</v>
      </c>
      <c r="B27" s="8"/>
      <c r="C27" s="8"/>
    </row>
  </sheetData>
  <mergeCells count="1"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7"/>
    <col collapsed="false" customWidth="true" hidden="false" outlineLevel="0" max="4" min="3" style="0" width="52"/>
    <col collapsed="false" customWidth="true" hidden="false" outlineLevel="0" max="6" min="5" style="0" width="12"/>
    <col collapsed="false" customWidth="true" hidden="false" outlineLevel="0" max="7" min="7" style="0" width="13"/>
  </cols>
  <sheetData>
    <row r="1" customFormat="false" ht="23.85" hidden="false" customHeight="false" outlineLevel="0" collapsed="false">
      <c r="A1" s="3" t="s">
        <v>38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</row>
    <row r="2" customFormat="false" ht="35.05" hidden="false" customHeight="false" outlineLevel="0" collapsed="false">
      <c r="A2" s="4" t="s">
        <v>45</v>
      </c>
      <c r="B2" s="9" t="n">
        <v>46323.4104166667</v>
      </c>
      <c r="C2" s="4" t="s">
        <v>46</v>
      </c>
      <c r="D2" s="4" t="s">
        <v>47</v>
      </c>
      <c r="E2" s="10" t="n">
        <v>122</v>
      </c>
      <c r="F2" s="10" t="n">
        <v>24996</v>
      </c>
      <c r="G2" s="10" t="n">
        <v>4890</v>
      </c>
    </row>
    <row r="3" customFormat="false" ht="23.85" hidden="false" customHeight="false" outlineLevel="0" collapsed="false">
      <c r="A3" s="4" t="s">
        <v>48</v>
      </c>
      <c r="B3" s="9" t="n">
        <v>46323.4270833333</v>
      </c>
      <c r="C3" s="4" t="s">
        <v>49</v>
      </c>
      <c r="D3" s="4" t="s">
        <v>50</v>
      </c>
      <c r="E3" s="10" t="n">
        <v>12</v>
      </c>
      <c r="F3" s="10" t="n">
        <v>66</v>
      </c>
      <c r="G3" s="10" t="n">
        <v>19</v>
      </c>
    </row>
    <row r="4" customFormat="false" ht="23.85" hidden="false" customHeight="false" outlineLevel="0" collapsed="false">
      <c r="A4" s="4" t="s">
        <v>51</v>
      </c>
      <c r="B4" s="9" t="n">
        <v>46323.5277777778</v>
      </c>
      <c r="C4" s="4" t="s">
        <v>52</v>
      </c>
      <c r="D4" s="4" t="s">
        <v>53</v>
      </c>
      <c r="E4" s="10" t="n">
        <v>44</v>
      </c>
      <c r="F4" s="10" t="n">
        <v>210</v>
      </c>
      <c r="G4" s="10" t="n">
        <v>93</v>
      </c>
    </row>
    <row r="5" customFormat="false" ht="23.85" hidden="false" customHeight="false" outlineLevel="0" collapsed="false">
      <c r="A5" s="4" t="s">
        <v>54</v>
      </c>
      <c r="B5" s="9" t="n">
        <v>46323.5520833333</v>
      </c>
      <c r="C5" s="4" t="s">
        <v>55</v>
      </c>
      <c r="D5" s="4" t="s">
        <v>56</v>
      </c>
      <c r="E5" s="10" t="n">
        <v>28</v>
      </c>
      <c r="F5" s="10" t="n">
        <v>374</v>
      </c>
      <c r="G5" s="10" t="n">
        <v>355</v>
      </c>
    </row>
    <row r="6" customFormat="false" ht="15" hidden="false" customHeight="false" outlineLevel="0" collapsed="false">
      <c r="A6" s="11" t="s">
        <v>57</v>
      </c>
      <c r="B6" s="12"/>
      <c r="C6" s="12"/>
      <c r="D6" s="12"/>
      <c r="E6" s="13" t="n">
        <f aca="false">SUM(E2:E5)</f>
        <v>206</v>
      </c>
      <c r="F6" s="13" t="n">
        <f aca="false">SUM(F2:F5)</f>
        <v>25646</v>
      </c>
      <c r="G6" s="13" t="n">
        <f aca="false">SUM(G2:G5)</f>
        <v>5357</v>
      </c>
    </row>
    <row r="8" customFormat="false" ht="30" hidden="false" customHeight="true" outlineLevel="0" collapsed="false">
      <c r="A8" s="8" t="s">
        <v>58</v>
      </c>
      <c r="B8" s="8"/>
      <c r="C8" s="8"/>
      <c r="D8" s="8"/>
      <c r="E8" s="8"/>
      <c r="F8" s="8"/>
      <c r="G8" s="8"/>
    </row>
  </sheetData>
  <mergeCells count="1">
    <mergeCell ref="A8:G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1" min="10" style="0" width="11"/>
  </cols>
  <sheetData>
    <row r="1" customFormat="false" ht="35.05" hidden="false" customHeight="false" outlineLevel="0" collapsed="false">
      <c r="A1" s="3" t="s">
        <v>59</v>
      </c>
      <c r="B1" s="3" t="s">
        <v>60</v>
      </c>
      <c r="C1" s="3" t="s">
        <v>61</v>
      </c>
      <c r="D1" s="3" t="s">
        <v>62</v>
      </c>
      <c r="E1" s="3" t="s">
        <v>63</v>
      </c>
      <c r="F1" s="3" t="s">
        <v>64</v>
      </c>
      <c r="G1" s="3" t="s">
        <v>17</v>
      </c>
      <c r="H1" s="3" t="s">
        <v>18</v>
      </c>
      <c r="I1" s="3" t="s">
        <v>19</v>
      </c>
      <c r="J1" s="3" t="s">
        <v>65</v>
      </c>
      <c r="K1" s="3" t="s">
        <v>66</v>
      </c>
    </row>
    <row r="2" customFormat="false" ht="15" hidden="false" customHeight="false" outlineLevel="0" collapsed="false">
      <c r="A2" s="4" t="s">
        <v>67</v>
      </c>
      <c r="B2" s="4" t="s">
        <v>68</v>
      </c>
      <c r="C2" s="4" t="s">
        <v>69</v>
      </c>
      <c r="D2" s="14" t="n">
        <v>32</v>
      </c>
      <c r="E2" s="14" t="n">
        <v>4</v>
      </c>
      <c r="F2" s="14" t="n">
        <v>0</v>
      </c>
      <c r="G2" s="14" t="n">
        <v>0</v>
      </c>
      <c r="H2" s="14" t="n">
        <v>0</v>
      </c>
      <c r="I2" s="14" t="n">
        <v>0</v>
      </c>
      <c r="J2" s="14" t="s">
        <v>70</v>
      </c>
      <c r="K2" s="14" t="s">
        <v>71</v>
      </c>
    </row>
    <row r="3" customFormat="false" ht="15" hidden="false" customHeight="false" outlineLevel="0" collapsed="false">
      <c r="A3" s="4" t="s">
        <v>72</v>
      </c>
      <c r="B3" s="4" t="s">
        <v>73</v>
      </c>
      <c r="C3" s="4" t="s">
        <v>69</v>
      </c>
      <c r="D3" s="14" t="n">
        <v>13</v>
      </c>
      <c r="E3" s="14" t="n">
        <v>0</v>
      </c>
      <c r="F3" s="14" t="n">
        <v>0</v>
      </c>
      <c r="G3" s="14" t="n">
        <v>0</v>
      </c>
      <c r="H3" s="14" t="n">
        <v>0</v>
      </c>
      <c r="I3" s="14" t="n">
        <v>0</v>
      </c>
      <c r="J3" s="14" t="s">
        <v>70</v>
      </c>
      <c r="K3" s="14" t="s">
        <v>70</v>
      </c>
    </row>
    <row r="4" customFormat="false" ht="15" hidden="false" customHeight="false" outlineLevel="0" collapsed="false">
      <c r="A4" s="4" t="s">
        <v>74</v>
      </c>
      <c r="B4" s="4" t="s">
        <v>75</v>
      </c>
      <c r="C4" s="4" t="s">
        <v>69</v>
      </c>
      <c r="D4" s="14" t="n">
        <v>66</v>
      </c>
      <c r="E4" s="14" t="n">
        <v>11</v>
      </c>
      <c r="F4" s="14" t="n">
        <v>1</v>
      </c>
      <c r="G4" s="14" t="n">
        <v>0</v>
      </c>
      <c r="H4" s="14" t="n">
        <v>0</v>
      </c>
      <c r="I4" s="14" t="n">
        <v>0</v>
      </c>
      <c r="J4" s="14" t="s">
        <v>71</v>
      </c>
      <c r="K4" s="14" t="s">
        <v>71</v>
      </c>
    </row>
    <row r="5" customFormat="false" ht="15" hidden="false" customHeight="false" outlineLevel="0" collapsed="false">
      <c r="A5" s="4" t="s">
        <v>76</v>
      </c>
      <c r="B5" s="4" t="s">
        <v>68</v>
      </c>
      <c r="C5" s="4" t="s">
        <v>77</v>
      </c>
      <c r="D5" s="14" t="n">
        <v>22</v>
      </c>
      <c r="E5" s="14" t="n">
        <v>2</v>
      </c>
      <c r="F5" s="14" t="n">
        <v>1</v>
      </c>
      <c r="G5" s="14" t="n">
        <v>0</v>
      </c>
      <c r="H5" s="14" t="n">
        <v>0</v>
      </c>
      <c r="I5" s="14" t="n">
        <v>0</v>
      </c>
      <c r="J5" s="14" t="s">
        <v>71</v>
      </c>
      <c r="K5" s="14" t="s">
        <v>70</v>
      </c>
    </row>
    <row r="6" customFormat="false" ht="15" hidden="false" customHeight="false" outlineLevel="0" collapsed="false">
      <c r="A6" s="4" t="s">
        <v>78</v>
      </c>
      <c r="B6" s="4" t="s">
        <v>73</v>
      </c>
      <c r="C6" s="4" t="s">
        <v>77</v>
      </c>
      <c r="D6" s="14" t="n">
        <v>15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s">
        <v>70</v>
      </c>
      <c r="K6" s="14" t="s">
        <v>70</v>
      </c>
    </row>
    <row r="7" customFormat="false" ht="15" hidden="false" customHeight="false" outlineLevel="0" collapsed="false">
      <c r="A7" s="4" t="s">
        <v>79</v>
      </c>
      <c r="B7" s="4" t="s">
        <v>75</v>
      </c>
      <c r="C7" s="4" t="s">
        <v>77</v>
      </c>
      <c r="D7" s="14" t="n">
        <v>27</v>
      </c>
      <c r="E7" s="14" t="n">
        <v>6</v>
      </c>
      <c r="F7" s="14" t="n">
        <v>1</v>
      </c>
      <c r="G7" s="14" t="n">
        <v>0</v>
      </c>
      <c r="H7" s="14" t="n">
        <v>0</v>
      </c>
      <c r="I7" s="14" t="n">
        <v>0</v>
      </c>
      <c r="J7" s="14" t="s">
        <v>71</v>
      </c>
      <c r="K7" s="14" t="s">
        <v>71</v>
      </c>
    </row>
    <row r="8" customFormat="false" ht="15" hidden="false" customHeight="false" outlineLevel="0" collapsed="false">
      <c r="A8" s="4" t="s">
        <v>80</v>
      </c>
      <c r="B8" s="4" t="s">
        <v>68</v>
      </c>
      <c r="C8" s="4" t="s">
        <v>81</v>
      </c>
      <c r="D8" s="14" t="n">
        <v>19</v>
      </c>
      <c r="E8" s="14" t="n">
        <v>1</v>
      </c>
      <c r="F8" s="14" t="n">
        <v>1</v>
      </c>
      <c r="G8" s="14" t="n">
        <v>0</v>
      </c>
      <c r="H8" s="14" t="n">
        <v>0</v>
      </c>
      <c r="I8" s="14" t="n">
        <v>0</v>
      </c>
      <c r="J8" s="14" t="s">
        <v>71</v>
      </c>
      <c r="K8" s="14" t="s">
        <v>70</v>
      </c>
    </row>
    <row r="9" customFormat="false" ht="15" hidden="false" customHeight="false" outlineLevel="0" collapsed="false">
      <c r="A9" s="4" t="s">
        <v>82</v>
      </c>
      <c r="B9" s="4" t="s">
        <v>73</v>
      </c>
      <c r="C9" s="4" t="s">
        <v>81</v>
      </c>
      <c r="D9" s="14" t="n">
        <v>8</v>
      </c>
      <c r="E9" s="14" t="n">
        <v>0</v>
      </c>
      <c r="F9" s="14" t="n">
        <v>0</v>
      </c>
      <c r="G9" s="14" t="n">
        <v>0</v>
      </c>
      <c r="H9" s="14" t="n">
        <v>0</v>
      </c>
      <c r="I9" s="14" t="n">
        <v>0</v>
      </c>
      <c r="J9" s="14" t="s">
        <v>70</v>
      </c>
      <c r="K9" s="14" t="s">
        <v>70</v>
      </c>
    </row>
    <row r="10" customFormat="false" ht="15" hidden="false" customHeight="false" outlineLevel="0" collapsed="false">
      <c r="A10" s="4" t="s">
        <v>83</v>
      </c>
      <c r="B10" s="4" t="s">
        <v>75</v>
      </c>
      <c r="C10" s="4" t="s">
        <v>81</v>
      </c>
      <c r="D10" s="14" t="n">
        <v>15</v>
      </c>
      <c r="E10" s="14" t="n">
        <v>4</v>
      </c>
      <c r="F10" s="14" t="n">
        <v>1</v>
      </c>
      <c r="G10" s="14" t="n">
        <v>0</v>
      </c>
      <c r="H10" s="14" t="n">
        <v>0</v>
      </c>
      <c r="I10" s="14" t="n">
        <v>0</v>
      </c>
      <c r="J10" s="14" t="s">
        <v>71</v>
      </c>
      <c r="K10" s="14" t="s">
        <v>70</v>
      </c>
    </row>
    <row r="11" customFormat="false" ht="15" hidden="false" customHeight="false" outlineLevel="0" collapsed="false">
      <c r="A11" s="4" t="s">
        <v>84</v>
      </c>
      <c r="B11" s="4" t="s">
        <v>68</v>
      </c>
      <c r="C11" s="4" t="s">
        <v>85</v>
      </c>
      <c r="D11" s="14" t="n">
        <v>9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0</v>
      </c>
      <c r="J11" s="14" t="s">
        <v>70</v>
      </c>
      <c r="K11" s="14" t="s">
        <v>70</v>
      </c>
    </row>
    <row r="12" customFormat="false" ht="15" hidden="false" customHeight="false" outlineLevel="0" collapsed="false">
      <c r="A12" s="4" t="s">
        <v>86</v>
      </c>
      <c r="B12" s="4" t="s">
        <v>73</v>
      </c>
      <c r="C12" s="4" t="s">
        <v>85</v>
      </c>
      <c r="D12" s="14" t="n">
        <v>5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s">
        <v>70</v>
      </c>
      <c r="K12" s="14" t="s">
        <v>70</v>
      </c>
    </row>
    <row r="13" customFormat="false" ht="15" hidden="false" customHeight="false" outlineLevel="0" collapsed="false">
      <c r="A13" s="4" t="s">
        <v>87</v>
      </c>
      <c r="B13" s="4" t="s">
        <v>75</v>
      </c>
      <c r="C13" s="4" t="s">
        <v>85</v>
      </c>
      <c r="D13" s="14" t="n">
        <v>8</v>
      </c>
      <c r="E13" s="14" t="n">
        <v>1</v>
      </c>
      <c r="F13" s="14" t="n">
        <v>1</v>
      </c>
      <c r="G13" s="14" t="n">
        <v>0</v>
      </c>
      <c r="H13" s="14" t="n">
        <v>0</v>
      </c>
      <c r="I13" s="14" t="n">
        <v>0</v>
      </c>
      <c r="J13" s="14" t="s">
        <v>71</v>
      </c>
      <c r="K13" s="14" t="s">
        <v>70</v>
      </c>
    </row>
    <row r="14" customFormat="false" ht="15" hidden="false" customHeight="false" outlineLevel="0" collapsed="false">
      <c r="A14" s="4" t="s">
        <v>88</v>
      </c>
      <c r="B14" s="4" t="s">
        <v>68</v>
      </c>
      <c r="C14" s="4" t="s">
        <v>89</v>
      </c>
      <c r="D14" s="14" t="n">
        <v>11</v>
      </c>
      <c r="E14" s="14" t="n">
        <v>1</v>
      </c>
      <c r="F14" s="14" t="n">
        <v>1</v>
      </c>
      <c r="G14" s="14" t="n">
        <v>0</v>
      </c>
      <c r="H14" s="14" t="n">
        <v>0</v>
      </c>
      <c r="I14" s="14" t="n">
        <v>0</v>
      </c>
      <c r="J14" s="14" t="s">
        <v>71</v>
      </c>
      <c r="K14" s="14" t="s">
        <v>70</v>
      </c>
    </row>
    <row r="15" customFormat="false" ht="15" hidden="false" customHeight="false" outlineLevel="0" collapsed="false">
      <c r="A15" s="4" t="s">
        <v>90</v>
      </c>
      <c r="B15" s="4" t="s">
        <v>73</v>
      </c>
      <c r="C15" s="4" t="s">
        <v>89</v>
      </c>
      <c r="D15" s="14" t="n">
        <v>6</v>
      </c>
      <c r="E15" s="14" t="n">
        <v>1</v>
      </c>
      <c r="F15" s="14" t="n">
        <v>1</v>
      </c>
      <c r="G15" s="14" t="n">
        <v>0</v>
      </c>
      <c r="H15" s="14" t="n">
        <v>0</v>
      </c>
      <c r="I15" s="14" t="n">
        <v>0</v>
      </c>
      <c r="J15" s="14" t="s">
        <v>71</v>
      </c>
      <c r="K15" s="14" t="s">
        <v>70</v>
      </c>
    </row>
    <row r="16" customFormat="false" ht="15" hidden="false" customHeight="false" outlineLevel="0" collapsed="false">
      <c r="A16" s="4" t="s">
        <v>91</v>
      </c>
      <c r="B16" s="4" t="s">
        <v>75</v>
      </c>
      <c r="C16" s="4" t="s">
        <v>89</v>
      </c>
      <c r="D16" s="14" t="n">
        <v>8</v>
      </c>
      <c r="E16" s="14" t="n">
        <v>1</v>
      </c>
      <c r="F16" s="14" t="n">
        <v>0</v>
      </c>
      <c r="G16" s="14" t="n">
        <v>0</v>
      </c>
      <c r="H16" s="14" t="n">
        <v>0</v>
      </c>
      <c r="I16" s="14" t="n">
        <v>0</v>
      </c>
      <c r="J16" s="14" t="s">
        <v>70</v>
      </c>
      <c r="K16" s="14" t="s">
        <v>70</v>
      </c>
    </row>
    <row r="17" customFormat="false" ht="15" hidden="false" customHeight="false" outlineLevel="0" collapsed="false">
      <c r="A17" s="4" t="s">
        <v>92</v>
      </c>
      <c r="B17" s="4" t="s">
        <v>68</v>
      </c>
      <c r="C17" s="4" t="s">
        <v>93</v>
      </c>
      <c r="D17" s="14" t="n">
        <v>19</v>
      </c>
      <c r="E17" s="14" t="n">
        <v>2</v>
      </c>
      <c r="F17" s="14" t="n">
        <v>1</v>
      </c>
      <c r="G17" s="14" t="n">
        <v>0</v>
      </c>
      <c r="H17" s="14" t="n">
        <v>0</v>
      </c>
      <c r="I17" s="14" t="n">
        <v>0</v>
      </c>
      <c r="J17" s="14" t="s">
        <v>71</v>
      </c>
      <c r="K17" s="14" t="s">
        <v>71</v>
      </c>
    </row>
    <row r="18" customFormat="false" ht="15" hidden="false" customHeight="false" outlineLevel="0" collapsed="false">
      <c r="A18" s="4" t="s">
        <v>94</v>
      </c>
      <c r="B18" s="4" t="s">
        <v>73</v>
      </c>
      <c r="C18" s="4" t="s">
        <v>93</v>
      </c>
      <c r="D18" s="14" t="n">
        <v>10</v>
      </c>
      <c r="E18" s="14" t="n">
        <v>0</v>
      </c>
      <c r="F18" s="14" t="n">
        <v>0</v>
      </c>
      <c r="G18" s="14" t="n">
        <v>0</v>
      </c>
      <c r="H18" s="14" t="n">
        <v>0</v>
      </c>
      <c r="I18" s="14" t="n">
        <v>0</v>
      </c>
      <c r="J18" s="14" t="s">
        <v>70</v>
      </c>
      <c r="K18" s="14" t="s">
        <v>70</v>
      </c>
    </row>
    <row r="19" customFormat="false" ht="15" hidden="false" customHeight="false" outlineLevel="0" collapsed="false">
      <c r="A19" s="4" t="s">
        <v>95</v>
      </c>
      <c r="B19" s="4" t="s">
        <v>75</v>
      </c>
      <c r="C19" s="4" t="s">
        <v>93</v>
      </c>
      <c r="D19" s="14" t="n">
        <v>16</v>
      </c>
      <c r="E19" s="14" t="n">
        <v>3</v>
      </c>
      <c r="F19" s="14" t="n">
        <v>2</v>
      </c>
      <c r="G19" s="14" t="n">
        <v>0</v>
      </c>
      <c r="H19" s="14" t="n">
        <v>0</v>
      </c>
      <c r="I19" s="14" t="n">
        <v>0</v>
      </c>
      <c r="J19" s="14" t="s">
        <v>71</v>
      </c>
      <c r="K19" s="14" t="s">
        <v>71</v>
      </c>
    </row>
    <row r="20" customFormat="false" ht="15" hidden="false" customHeight="false" outlineLevel="0" collapsed="false">
      <c r="A20" s="4" t="s">
        <v>96</v>
      </c>
      <c r="B20" s="4" t="s">
        <v>68</v>
      </c>
      <c r="C20" s="4" t="s">
        <v>97</v>
      </c>
      <c r="D20" s="14" t="n">
        <v>15</v>
      </c>
      <c r="E20" s="14" t="n">
        <v>1</v>
      </c>
      <c r="F20" s="14" t="n">
        <v>1</v>
      </c>
      <c r="G20" s="14" t="n">
        <v>0</v>
      </c>
      <c r="H20" s="14" t="n">
        <v>0</v>
      </c>
      <c r="I20" s="14" t="n">
        <v>0</v>
      </c>
      <c r="J20" s="14" t="s">
        <v>71</v>
      </c>
      <c r="K20" s="14" t="s">
        <v>70</v>
      </c>
    </row>
    <row r="21" customFormat="false" ht="15" hidden="false" customHeight="false" outlineLevel="0" collapsed="false">
      <c r="A21" s="4" t="s">
        <v>98</v>
      </c>
      <c r="B21" s="4" t="s">
        <v>73</v>
      </c>
      <c r="C21" s="4" t="s">
        <v>97</v>
      </c>
      <c r="D21" s="14" t="n">
        <v>8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s">
        <v>70</v>
      </c>
      <c r="K21" s="14" t="s">
        <v>70</v>
      </c>
    </row>
    <row r="22" customFormat="false" ht="15" hidden="false" customHeight="false" outlineLevel="0" collapsed="false">
      <c r="A22" s="4" t="s">
        <v>99</v>
      </c>
      <c r="B22" s="4" t="s">
        <v>75</v>
      </c>
      <c r="C22" s="4" t="s">
        <v>97</v>
      </c>
      <c r="D22" s="14" t="n">
        <v>10</v>
      </c>
      <c r="E22" s="14" t="n">
        <v>2</v>
      </c>
      <c r="F22" s="14" t="n">
        <v>0</v>
      </c>
      <c r="G22" s="14" t="n">
        <v>0</v>
      </c>
      <c r="H22" s="14" t="n">
        <v>0</v>
      </c>
      <c r="I22" s="14" t="n">
        <v>0</v>
      </c>
      <c r="J22" s="14" t="s">
        <v>70</v>
      </c>
      <c r="K22" s="14" t="s">
        <v>70</v>
      </c>
    </row>
    <row r="23" customFormat="false" ht="15" hidden="false" customHeight="false" outlineLevel="0" collapsed="false">
      <c r="A23" s="4" t="s">
        <v>100</v>
      </c>
      <c r="B23" s="4" t="s">
        <v>68</v>
      </c>
      <c r="C23" s="4" t="s">
        <v>101</v>
      </c>
      <c r="D23" s="14" t="n">
        <v>22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s">
        <v>70</v>
      </c>
      <c r="K23" s="14" t="s">
        <v>71</v>
      </c>
    </row>
    <row r="24" customFormat="false" ht="15" hidden="false" customHeight="false" outlineLevel="0" collapsed="false">
      <c r="A24" s="4" t="s">
        <v>102</v>
      </c>
      <c r="B24" s="4" t="s">
        <v>73</v>
      </c>
      <c r="C24" s="4" t="s">
        <v>101</v>
      </c>
      <c r="D24" s="14" t="n">
        <v>13</v>
      </c>
      <c r="E24" s="14" t="n">
        <v>0</v>
      </c>
      <c r="F24" s="14" t="n">
        <v>0</v>
      </c>
      <c r="G24" s="14" t="n">
        <v>0</v>
      </c>
      <c r="H24" s="14" t="n">
        <v>0</v>
      </c>
      <c r="I24" s="14" t="n">
        <v>0</v>
      </c>
      <c r="J24" s="14" t="s">
        <v>70</v>
      </c>
      <c r="K24" s="14" t="s">
        <v>70</v>
      </c>
    </row>
    <row r="25" customFormat="false" ht="15" hidden="false" customHeight="false" outlineLevel="0" collapsed="false">
      <c r="A25" s="4" t="s">
        <v>103</v>
      </c>
      <c r="B25" s="4" t="s">
        <v>75</v>
      </c>
      <c r="C25" s="4" t="s">
        <v>101</v>
      </c>
      <c r="D25" s="14" t="n">
        <v>13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</v>
      </c>
      <c r="J25" s="14" t="s">
        <v>70</v>
      </c>
      <c r="K25" s="14" t="s">
        <v>71</v>
      </c>
    </row>
    <row r="26" customFormat="false" ht="15" hidden="false" customHeight="false" outlineLevel="0" collapsed="false">
      <c r="A26" s="4" t="s">
        <v>104</v>
      </c>
      <c r="B26" s="4" t="s">
        <v>68</v>
      </c>
      <c r="C26" s="4" t="s">
        <v>105</v>
      </c>
      <c r="D26" s="14" t="n">
        <v>24</v>
      </c>
      <c r="E26" s="14" t="n">
        <v>0</v>
      </c>
      <c r="F26" s="14" t="n">
        <v>0</v>
      </c>
      <c r="G26" s="14" t="n">
        <v>0</v>
      </c>
      <c r="H26" s="14" t="n">
        <v>0</v>
      </c>
      <c r="I26" s="14" t="n">
        <v>0</v>
      </c>
      <c r="J26" s="14" t="s">
        <v>70</v>
      </c>
      <c r="K26" s="14" t="s">
        <v>71</v>
      </c>
    </row>
    <row r="27" customFormat="false" ht="15" hidden="false" customHeight="false" outlineLevel="0" collapsed="false">
      <c r="A27" s="4" t="s">
        <v>106</v>
      </c>
      <c r="B27" s="4" t="s">
        <v>73</v>
      </c>
      <c r="C27" s="4" t="s">
        <v>105</v>
      </c>
      <c r="D27" s="14" t="n">
        <v>11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s">
        <v>70</v>
      </c>
      <c r="K27" s="14" t="s">
        <v>70</v>
      </c>
    </row>
    <row r="28" customFormat="false" ht="15" hidden="false" customHeight="false" outlineLevel="0" collapsed="false">
      <c r="A28" s="4" t="s">
        <v>107</v>
      </c>
      <c r="B28" s="4" t="s">
        <v>75</v>
      </c>
      <c r="C28" s="4" t="s">
        <v>105</v>
      </c>
      <c r="D28" s="14" t="n">
        <v>13</v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s">
        <v>70</v>
      </c>
      <c r="K28" s="14" t="s">
        <v>71</v>
      </c>
    </row>
    <row r="29" customFormat="false" ht="15" hidden="false" customHeight="false" outlineLevel="0" collapsed="false">
      <c r="A29" s="4" t="s">
        <v>108</v>
      </c>
      <c r="B29" s="4" t="s">
        <v>68</v>
      </c>
      <c r="C29" s="4" t="s">
        <v>109</v>
      </c>
      <c r="D29" s="14" t="n">
        <v>19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s">
        <v>70</v>
      </c>
      <c r="K29" s="14" t="s">
        <v>70</v>
      </c>
    </row>
    <row r="30" customFormat="false" ht="15" hidden="false" customHeight="false" outlineLevel="0" collapsed="false">
      <c r="A30" s="4" t="s">
        <v>110</v>
      </c>
      <c r="B30" s="4" t="s">
        <v>73</v>
      </c>
      <c r="C30" s="4" t="s">
        <v>109</v>
      </c>
      <c r="D30" s="14" t="n">
        <v>9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s">
        <v>70</v>
      </c>
      <c r="K30" s="14" t="s">
        <v>70</v>
      </c>
    </row>
    <row r="31" customFormat="false" ht="15" hidden="false" customHeight="false" outlineLevel="0" collapsed="false">
      <c r="A31" s="4" t="s">
        <v>111</v>
      </c>
      <c r="B31" s="4" t="s">
        <v>75</v>
      </c>
      <c r="C31" s="4" t="s">
        <v>109</v>
      </c>
      <c r="D31" s="14" t="n">
        <v>12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s">
        <v>70</v>
      </c>
      <c r="K31" s="14" t="s">
        <v>70</v>
      </c>
    </row>
    <row r="32" customFormat="false" ht="15" hidden="false" customHeight="false" outlineLevel="0" collapsed="false">
      <c r="A32" s="11" t="s">
        <v>112</v>
      </c>
      <c r="B32" s="12"/>
      <c r="C32" s="12"/>
      <c r="D32" s="15" t="n">
        <f aca="false">SUM(D2:D31)</f>
        <v>478</v>
      </c>
      <c r="E32" s="16" t="n">
        <f aca="false">SUM(E2:E31)</f>
        <v>40</v>
      </c>
      <c r="F32" s="16" t="n">
        <f aca="false">SUM(F2:F31)</f>
        <v>12</v>
      </c>
      <c r="G32" s="16" t="n">
        <f aca="false">SUM(G2:G31)</f>
        <v>0</v>
      </c>
      <c r="H32" s="16" t="n">
        <f aca="false">SUM(H2:H31)</f>
        <v>0</v>
      </c>
      <c r="I32" s="16" t="n">
        <f aca="false">SUM(I2:I31)</f>
        <v>0</v>
      </c>
      <c r="J32" s="16" t="n">
        <f aca="false">COUNTIF(J2:J31,"Yes")</f>
        <v>11</v>
      </c>
      <c r="K32" s="16" t="n">
        <f aca="false">COUNTIF(K2:K31,"Yes")</f>
        <v>9</v>
      </c>
    </row>
    <row r="34" customFormat="false" ht="42.75" hidden="false" customHeight="true" outlineLevel="0" collapsed="false">
      <c r="A34" s="8" t="s">
        <v>113</v>
      </c>
      <c r="B34" s="8"/>
      <c r="C34" s="8"/>
      <c r="D34" s="8"/>
      <c r="E34" s="8"/>
      <c r="F34" s="8"/>
      <c r="G34" s="8"/>
      <c r="H34" s="8"/>
      <c r="I34" s="8"/>
      <c r="J34" s="8"/>
      <c r="K34" s="8"/>
    </row>
  </sheetData>
  <mergeCells count="1">
    <mergeCell ref="A34:K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40"/>
    <col collapsed="false" customWidth="true" hidden="false" outlineLevel="0" max="4" min="4" style="0" width="13"/>
    <col collapsed="false" customWidth="true" hidden="false" outlineLevel="0" max="5" min="5" style="0" width="60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3" t="s">
        <v>114</v>
      </c>
      <c r="B1" s="3" t="s">
        <v>59</v>
      </c>
      <c r="C1" s="3" t="s">
        <v>115</v>
      </c>
      <c r="D1" s="3" t="s">
        <v>116</v>
      </c>
      <c r="E1" s="3" t="s">
        <v>117</v>
      </c>
      <c r="F1" s="3" t="s">
        <v>38</v>
      </c>
    </row>
    <row r="2" customFormat="false" ht="23.85" hidden="false" customHeight="false" outlineLevel="0" collapsed="false">
      <c r="A2" s="14" t="n">
        <v>1</v>
      </c>
      <c r="B2" s="4" t="s">
        <v>118</v>
      </c>
      <c r="C2" s="4" t="s">
        <v>119</v>
      </c>
      <c r="D2" s="4" t="s">
        <v>120</v>
      </c>
      <c r="E2" s="4" t="s">
        <v>121</v>
      </c>
      <c r="F2" s="14" t="s">
        <v>45</v>
      </c>
    </row>
    <row r="3" customFormat="false" ht="23.85" hidden="false" customHeight="false" outlineLevel="0" collapsed="false">
      <c r="A3" s="14" t="n">
        <v>2</v>
      </c>
      <c r="B3" s="4" t="s">
        <v>67</v>
      </c>
      <c r="C3" s="4" t="s">
        <v>122</v>
      </c>
      <c r="D3" s="4" t="s">
        <v>123</v>
      </c>
      <c r="E3" s="4" t="s">
        <v>124</v>
      </c>
      <c r="F3" s="14" t="s">
        <v>45</v>
      </c>
    </row>
    <row r="4" customFormat="false" ht="23.85" hidden="false" customHeight="false" outlineLevel="0" collapsed="false">
      <c r="A4" s="14" t="n">
        <v>3</v>
      </c>
      <c r="B4" s="4" t="s">
        <v>79</v>
      </c>
      <c r="C4" s="4" t="s">
        <v>125</v>
      </c>
      <c r="D4" s="4" t="s">
        <v>123</v>
      </c>
      <c r="E4" s="4" t="s">
        <v>126</v>
      </c>
      <c r="F4" s="14" t="s">
        <v>45</v>
      </c>
    </row>
    <row r="5" customFormat="false" ht="23.85" hidden="false" customHeight="false" outlineLevel="0" collapsed="false">
      <c r="A5" s="14" t="n">
        <v>4</v>
      </c>
      <c r="B5" s="4" t="s">
        <v>83</v>
      </c>
      <c r="C5" s="4" t="s">
        <v>127</v>
      </c>
      <c r="D5" s="4" t="s">
        <v>128</v>
      </c>
      <c r="E5" s="4" t="s">
        <v>129</v>
      </c>
      <c r="F5" s="14" t="s">
        <v>45</v>
      </c>
    </row>
    <row r="6" customFormat="false" ht="15" hidden="false" customHeight="false" outlineLevel="0" collapsed="false">
      <c r="A6" s="14" t="n">
        <v>5</v>
      </c>
      <c r="B6" s="4" t="s">
        <v>91</v>
      </c>
      <c r="C6" s="4" t="s">
        <v>130</v>
      </c>
      <c r="D6" s="4" t="s">
        <v>123</v>
      </c>
      <c r="E6" s="4" t="s">
        <v>131</v>
      </c>
      <c r="F6" s="14" t="s">
        <v>45</v>
      </c>
    </row>
    <row r="7" customFormat="false" ht="15" hidden="false" customHeight="false" outlineLevel="0" collapsed="false">
      <c r="A7" s="14" t="n">
        <v>6</v>
      </c>
      <c r="B7" s="4" t="s">
        <v>95</v>
      </c>
      <c r="C7" s="4" t="s">
        <v>130</v>
      </c>
      <c r="D7" s="4" t="s">
        <v>123</v>
      </c>
      <c r="E7" s="4" t="s">
        <v>132</v>
      </c>
      <c r="F7" s="14" t="s">
        <v>45</v>
      </c>
    </row>
    <row r="8" customFormat="false" ht="23.85" hidden="false" customHeight="false" outlineLevel="0" collapsed="false">
      <c r="A8" s="14" t="n">
        <v>7</v>
      </c>
      <c r="B8" s="4" t="s">
        <v>92</v>
      </c>
      <c r="C8" s="4" t="s">
        <v>133</v>
      </c>
      <c r="D8" s="4" t="s">
        <v>123</v>
      </c>
      <c r="E8" s="4" t="s">
        <v>134</v>
      </c>
      <c r="F8" s="14" t="s">
        <v>51</v>
      </c>
    </row>
    <row r="9" customFormat="false" ht="23.85" hidden="false" customHeight="false" outlineLevel="0" collapsed="false">
      <c r="A9" s="14" t="n">
        <v>8</v>
      </c>
      <c r="B9" s="4" t="s">
        <v>95</v>
      </c>
      <c r="C9" s="4" t="s">
        <v>130</v>
      </c>
      <c r="D9" s="4" t="s">
        <v>123</v>
      </c>
      <c r="E9" s="4" t="s">
        <v>135</v>
      </c>
      <c r="F9" s="14" t="s">
        <v>51</v>
      </c>
    </row>
    <row r="10" customFormat="false" ht="23.85" hidden="false" customHeight="false" outlineLevel="0" collapsed="false">
      <c r="A10" s="14" t="n">
        <v>9</v>
      </c>
      <c r="B10" s="4" t="s">
        <v>96</v>
      </c>
      <c r="C10" s="4" t="s">
        <v>136</v>
      </c>
      <c r="D10" s="4" t="s">
        <v>123</v>
      </c>
      <c r="E10" s="4" t="s">
        <v>137</v>
      </c>
      <c r="F10" s="14" t="s">
        <v>51</v>
      </c>
    </row>
    <row r="11" customFormat="false" ht="23.85" hidden="false" customHeight="false" outlineLevel="0" collapsed="false">
      <c r="A11" s="14" t="n">
        <v>10</v>
      </c>
      <c r="B11" s="4" t="s">
        <v>76</v>
      </c>
      <c r="C11" s="4" t="s">
        <v>138</v>
      </c>
      <c r="D11" s="4" t="s">
        <v>123</v>
      </c>
      <c r="E11" s="4" t="s">
        <v>139</v>
      </c>
      <c r="F11" s="14" t="s">
        <v>51</v>
      </c>
    </row>
    <row r="12" customFormat="false" ht="15" hidden="false" customHeight="false" outlineLevel="0" collapsed="false">
      <c r="A12" s="14" t="n">
        <v>11</v>
      </c>
      <c r="B12" s="4" t="s">
        <v>79</v>
      </c>
      <c r="C12" s="4" t="s">
        <v>140</v>
      </c>
      <c r="D12" s="4" t="s">
        <v>123</v>
      </c>
      <c r="E12" s="4" t="s">
        <v>141</v>
      </c>
      <c r="F12" s="14" t="s">
        <v>51</v>
      </c>
    </row>
    <row r="13" customFormat="false" ht="15" hidden="false" customHeight="false" outlineLevel="0" collapsed="false">
      <c r="A13" s="14" t="n">
        <v>12</v>
      </c>
      <c r="B13" s="4" t="s">
        <v>80</v>
      </c>
      <c r="C13" s="4" t="s">
        <v>142</v>
      </c>
      <c r="D13" s="4" t="s">
        <v>143</v>
      </c>
      <c r="E13" s="4" t="s">
        <v>144</v>
      </c>
      <c r="F13" s="14" t="s">
        <v>51</v>
      </c>
    </row>
    <row r="14" customFormat="false" ht="15" hidden="false" customHeight="false" outlineLevel="0" collapsed="false">
      <c r="A14" s="14" t="n">
        <v>13</v>
      </c>
      <c r="B14" s="4" t="s">
        <v>83</v>
      </c>
      <c r="C14" s="4" t="s">
        <v>145</v>
      </c>
      <c r="D14" s="4" t="s">
        <v>143</v>
      </c>
      <c r="E14" s="4" t="s">
        <v>146</v>
      </c>
      <c r="F14" s="14" t="s">
        <v>51</v>
      </c>
    </row>
    <row r="15" customFormat="false" ht="15" hidden="false" customHeight="false" outlineLevel="0" collapsed="false">
      <c r="A15" s="14" t="n">
        <v>14</v>
      </c>
      <c r="B15" s="4" t="s">
        <v>87</v>
      </c>
      <c r="C15" s="4" t="s">
        <v>130</v>
      </c>
      <c r="D15" s="4" t="s">
        <v>123</v>
      </c>
      <c r="E15" s="4" t="s">
        <v>147</v>
      </c>
      <c r="F15" s="14" t="s">
        <v>51</v>
      </c>
    </row>
    <row r="16" customFormat="false" ht="15" hidden="false" customHeight="false" outlineLevel="0" collapsed="false">
      <c r="A16" s="14" t="n">
        <v>15</v>
      </c>
      <c r="B16" s="4" t="s">
        <v>74</v>
      </c>
      <c r="C16" s="4" t="s">
        <v>148</v>
      </c>
      <c r="D16" s="4" t="s">
        <v>123</v>
      </c>
      <c r="E16" s="4" t="s">
        <v>149</v>
      </c>
      <c r="F16" s="14" t="s">
        <v>51</v>
      </c>
    </row>
    <row r="17" customFormat="false" ht="15" hidden="false" customHeight="false" outlineLevel="0" collapsed="false">
      <c r="A17" s="14" t="n">
        <v>16</v>
      </c>
      <c r="B17" s="4" t="s">
        <v>88</v>
      </c>
      <c r="C17" s="4" t="s">
        <v>150</v>
      </c>
      <c r="D17" s="4" t="s">
        <v>143</v>
      </c>
      <c r="E17" s="4" t="s">
        <v>151</v>
      </c>
      <c r="F17" s="14" t="s">
        <v>51</v>
      </c>
    </row>
    <row r="18" customFormat="false" ht="15" hidden="false" customHeight="false" outlineLevel="0" collapsed="false">
      <c r="A18" s="14" t="n">
        <v>17</v>
      </c>
      <c r="B18" s="4" t="s">
        <v>90</v>
      </c>
      <c r="C18" s="4" t="s">
        <v>152</v>
      </c>
      <c r="D18" s="4" t="s">
        <v>143</v>
      </c>
      <c r="E18" s="4" t="s">
        <v>153</v>
      </c>
      <c r="F18" s="14" t="s">
        <v>51</v>
      </c>
    </row>
    <row r="19" customFormat="false" ht="57.45" hidden="false" customHeight="false" outlineLevel="0" collapsed="false">
      <c r="A19" s="14" t="n">
        <v>18</v>
      </c>
      <c r="B19" s="4" t="s">
        <v>154</v>
      </c>
      <c r="C19" s="4" t="s">
        <v>119</v>
      </c>
      <c r="D19" s="4" t="s">
        <v>155</v>
      </c>
      <c r="E19" s="4" t="s">
        <v>156</v>
      </c>
      <c r="F19" s="14" t="s">
        <v>54</v>
      </c>
    </row>
    <row r="21" customFormat="false" ht="30" hidden="false" customHeight="true" outlineLevel="0" collapsed="false">
      <c r="A21" s="8" t="s">
        <v>157</v>
      </c>
      <c r="B21" s="8"/>
      <c r="C21" s="8"/>
      <c r="D21" s="8"/>
      <c r="E21" s="8"/>
      <c r="F21" s="8"/>
    </row>
  </sheetData>
  <mergeCells count="1"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26"/>
  </cols>
  <sheetData>
    <row r="1" customFormat="false" ht="35.05" hidden="false" customHeight="false" outlineLevel="0" collapsed="false">
      <c r="A1" s="3" t="s">
        <v>158</v>
      </c>
      <c r="B1" s="3" t="s">
        <v>159</v>
      </c>
      <c r="C1" s="3" t="s">
        <v>160</v>
      </c>
      <c r="D1" s="3" t="s">
        <v>161</v>
      </c>
      <c r="E1" s="3" t="s">
        <v>162</v>
      </c>
      <c r="F1" s="3" t="s">
        <v>163</v>
      </c>
    </row>
    <row r="2" customFormat="false" ht="23.85" hidden="false" customHeight="false" outlineLevel="0" collapsed="false">
      <c r="A2" s="4" t="s">
        <v>164</v>
      </c>
      <c r="B2" s="4" t="s">
        <v>165</v>
      </c>
      <c r="C2" s="14" t="n">
        <v>0</v>
      </c>
      <c r="D2" s="14" t="n">
        <v>54</v>
      </c>
      <c r="E2" s="14" t="n">
        <v>0</v>
      </c>
      <c r="F2" s="4" t="s">
        <v>166</v>
      </c>
    </row>
    <row r="3" customFormat="false" ht="15" hidden="false" customHeight="false" outlineLevel="0" collapsed="false">
      <c r="A3" s="4" t="s">
        <v>167</v>
      </c>
      <c r="B3" s="4" t="s">
        <v>168</v>
      </c>
      <c r="C3" s="14" t="n">
        <v>0</v>
      </c>
      <c r="D3" s="14" t="n">
        <v>10</v>
      </c>
      <c r="E3" s="14" t="n">
        <v>0</v>
      </c>
      <c r="F3" s="4" t="s">
        <v>169</v>
      </c>
    </row>
    <row r="4" customFormat="false" ht="15" hidden="false" customHeight="false" outlineLevel="0" collapsed="false">
      <c r="A4" s="4" t="s">
        <v>170</v>
      </c>
      <c r="B4" s="4" t="s">
        <v>171</v>
      </c>
      <c r="C4" s="14" t="n">
        <v>0</v>
      </c>
      <c r="D4" s="14" t="n">
        <v>25</v>
      </c>
      <c r="E4" s="14" t="n">
        <v>0</v>
      </c>
      <c r="F4" s="4" t="s">
        <v>169</v>
      </c>
    </row>
    <row r="5" customFormat="false" ht="23.85" hidden="false" customHeight="false" outlineLevel="0" collapsed="false">
      <c r="A5" s="4" t="s">
        <v>172</v>
      </c>
      <c r="B5" s="4" t="s">
        <v>173</v>
      </c>
      <c r="C5" s="14" t="n">
        <v>0</v>
      </c>
      <c r="D5" s="14" t="n">
        <v>23</v>
      </c>
      <c r="E5" s="14" t="n">
        <v>0</v>
      </c>
      <c r="F5" s="4" t="s">
        <v>169</v>
      </c>
    </row>
    <row r="6" customFormat="false" ht="15" hidden="false" customHeight="false" outlineLevel="0" collapsed="false">
      <c r="A6" s="4" t="s">
        <v>174</v>
      </c>
      <c r="B6" s="4" t="s">
        <v>175</v>
      </c>
      <c r="C6" s="14" t="n">
        <v>0</v>
      </c>
      <c r="D6" s="14" t="n">
        <v>90</v>
      </c>
      <c r="E6" s="14" t="n">
        <v>0</v>
      </c>
      <c r="F6" s="4" t="s">
        <v>176</v>
      </c>
    </row>
    <row r="7" customFormat="false" ht="15" hidden="false" customHeight="false" outlineLevel="0" collapsed="false">
      <c r="A7" s="4" t="s">
        <v>177</v>
      </c>
      <c r="B7" s="4" t="s">
        <v>178</v>
      </c>
      <c r="C7" s="14" t="n">
        <v>0</v>
      </c>
      <c r="D7" s="14" t="n">
        <v>101</v>
      </c>
      <c r="E7" s="14" t="n">
        <v>0</v>
      </c>
      <c r="F7" s="4" t="s">
        <v>176</v>
      </c>
    </row>
    <row r="8" customFormat="false" ht="15" hidden="false" customHeight="false" outlineLevel="0" collapsed="false">
      <c r="A8" s="4" t="s">
        <v>179</v>
      </c>
      <c r="B8" s="4" t="s">
        <v>180</v>
      </c>
      <c r="C8" s="14" t="n">
        <v>0</v>
      </c>
      <c r="D8" s="14" t="n">
        <v>29</v>
      </c>
      <c r="E8" s="14" t="n">
        <v>0</v>
      </c>
      <c r="F8" s="4" t="s">
        <v>176</v>
      </c>
    </row>
    <row r="9" customFormat="false" ht="15" hidden="false" customHeight="false" outlineLevel="0" collapsed="false">
      <c r="A9" s="4" t="s">
        <v>181</v>
      </c>
      <c r="B9" s="4" t="s">
        <v>182</v>
      </c>
      <c r="C9" s="14" t="n">
        <v>0</v>
      </c>
      <c r="D9" s="14" t="n">
        <v>33</v>
      </c>
      <c r="E9" s="14" t="n">
        <v>0</v>
      </c>
      <c r="F9" s="4" t="s">
        <v>176</v>
      </c>
    </row>
    <row r="10" customFormat="false" ht="15" hidden="false" customHeight="false" outlineLevel="0" collapsed="false">
      <c r="A10" s="4" t="s">
        <v>183</v>
      </c>
      <c r="B10" s="4" t="s">
        <v>184</v>
      </c>
      <c r="C10" s="14" t="n">
        <v>0</v>
      </c>
      <c r="D10" s="14" t="n">
        <v>50</v>
      </c>
      <c r="E10" s="14" t="n">
        <v>0</v>
      </c>
      <c r="F10" s="4" t="s">
        <v>176</v>
      </c>
    </row>
    <row r="11" customFormat="false" ht="15" hidden="false" customHeight="false" outlineLevel="0" collapsed="false">
      <c r="A11" s="4" t="s">
        <v>185</v>
      </c>
      <c r="B11" s="4" t="s">
        <v>186</v>
      </c>
      <c r="C11" s="14" t="n">
        <v>0</v>
      </c>
      <c r="D11" s="14" t="n">
        <v>20</v>
      </c>
      <c r="E11" s="14" t="n">
        <v>0</v>
      </c>
      <c r="F11" s="4" t="s">
        <v>176</v>
      </c>
    </row>
    <row r="12" customFormat="false" ht="15" hidden="false" customHeight="false" outlineLevel="0" collapsed="false">
      <c r="A12" s="4" t="s">
        <v>187</v>
      </c>
      <c r="B12" s="4" t="s">
        <v>188</v>
      </c>
      <c r="C12" s="14" t="n">
        <v>0</v>
      </c>
      <c r="D12" s="14" t="n">
        <v>38</v>
      </c>
      <c r="E12" s="14" t="n">
        <v>0</v>
      </c>
      <c r="F12" s="4" t="s">
        <v>176</v>
      </c>
    </row>
    <row r="13" customFormat="false" ht="15" hidden="false" customHeight="false" outlineLevel="0" collapsed="false">
      <c r="A13" s="4" t="s">
        <v>189</v>
      </c>
      <c r="B13" s="4" t="s">
        <v>190</v>
      </c>
      <c r="C13" s="14" t="n">
        <v>0</v>
      </c>
      <c r="D13" s="14" t="n">
        <v>31</v>
      </c>
      <c r="E13" s="14" t="n">
        <v>0</v>
      </c>
      <c r="F13" s="4" t="s">
        <v>176</v>
      </c>
    </row>
    <row r="14" customFormat="false" ht="15" hidden="false" customHeight="false" outlineLevel="0" collapsed="false">
      <c r="A14" s="11" t="s">
        <v>191</v>
      </c>
      <c r="B14" s="12" t="str">
        <f aca="false">COUNTIF(C2:C13,0)&amp;" of 12 programs exit with code 0"</f>
        <v>12 of 12 programs exit with code 0</v>
      </c>
      <c r="C14" s="16"/>
      <c r="D14" s="16" t="n">
        <f aca="false">SUM(D2:D13)</f>
        <v>504</v>
      </c>
      <c r="E14" s="16" t="n">
        <f aca="false">SUM(E2:E13)</f>
        <v>0</v>
      </c>
      <c r="F14" s="12"/>
    </row>
    <row r="16" customFormat="false" ht="15" hidden="false" customHeight="false" outlineLevel="0" collapsed="false">
      <c r="A16" s="17" t="s">
        <v>192</v>
      </c>
      <c r="B16" s="18"/>
    </row>
    <row r="17" customFormat="false" ht="15" hidden="false" customHeight="false" outlineLevel="0" collapsed="false">
      <c r="A17" s="4" t="s">
        <v>193</v>
      </c>
      <c r="B17" s="19" t="n">
        <v>479</v>
      </c>
    </row>
    <row r="18" customFormat="false" ht="15" hidden="false" customHeight="false" outlineLevel="0" collapsed="false">
      <c r="A18" s="4" t="s">
        <v>194</v>
      </c>
      <c r="B18" s="19" t="n">
        <v>479</v>
      </c>
    </row>
    <row r="19" customFormat="false" ht="15" hidden="false" customHeight="false" outlineLevel="0" collapsed="false">
      <c r="A19" s="4" t="s">
        <v>195</v>
      </c>
      <c r="B19" s="19" t="n">
        <v>443</v>
      </c>
    </row>
    <row r="20" customFormat="false" ht="23.85" hidden="false" customHeight="false" outlineLevel="0" collapsed="false">
      <c r="A20" s="4" t="s">
        <v>196</v>
      </c>
      <c r="B20" s="19" t="n">
        <v>36</v>
      </c>
    </row>
    <row r="21" customFormat="false" ht="15" hidden="false" customHeight="false" outlineLevel="0" collapsed="false">
      <c r="A21" s="4" t="s">
        <v>197</v>
      </c>
      <c r="B21" s="19" t="n">
        <v>0</v>
      </c>
    </row>
    <row r="22" customFormat="false" ht="15" hidden="false" customHeight="false" outlineLevel="0" collapsed="false">
      <c r="A22" s="4" t="s">
        <v>198</v>
      </c>
      <c r="B22" s="19" t="n">
        <v>189</v>
      </c>
    </row>
    <row r="23" customFormat="false" ht="15" hidden="false" customHeight="false" outlineLevel="0" collapsed="false">
      <c r="A23" s="4" t="s">
        <v>199</v>
      </c>
      <c r="B23" s="19" t="n">
        <v>554</v>
      </c>
    </row>
    <row r="24" customFormat="false" ht="15" hidden="false" customHeight="false" outlineLevel="0" collapsed="false">
      <c r="A24" s="4" t="s">
        <v>200</v>
      </c>
      <c r="B24" s="20" t="n">
        <v>283.883</v>
      </c>
    </row>
    <row r="25" customFormat="false" ht="15" hidden="false" customHeight="false" outlineLevel="0" collapsed="false">
      <c r="A25" s="4" t="s">
        <v>201</v>
      </c>
      <c r="B25" s="19" t="s">
        <v>202</v>
      </c>
    </row>
    <row r="27" customFormat="false" ht="15" hidden="false" customHeight="false" outlineLevel="0" collapsed="false">
      <c r="A27" s="17" t="s">
        <v>203</v>
      </c>
      <c r="B27" s="18"/>
    </row>
    <row r="28" customFormat="false" ht="15" hidden="false" customHeight="false" outlineLevel="0" collapsed="false">
      <c r="A28" s="4" t="s">
        <v>204</v>
      </c>
      <c r="B28" s="19" t="n">
        <v>184</v>
      </c>
    </row>
    <row r="29" customFormat="false" ht="15" hidden="false" customHeight="false" outlineLevel="0" collapsed="false">
      <c r="A29" s="4" t="s">
        <v>205</v>
      </c>
      <c r="B29" s="19" t="n">
        <v>60</v>
      </c>
    </row>
    <row r="30" customFormat="false" ht="15" hidden="false" customHeight="false" outlineLevel="0" collapsed="false">
      <c r="A30" s="4" t="s">
        <v>206</v>
      </c>
      <c r="B30" s="19" t="n">
        <v>60</v>
      </c>
    </row>
    <row r="31" customFormat="false" ht="15" hidden="false" customHeight="false" outlineLevel="0" collapsed="false">
      <c r="A31" s="4" t="s">
        <v>207</v>
      </c>
      <c r="B31" s="19" t="n">
        <v>30</v>
      </c>
    </row>
    <row r="32" customFormat="false" ht="15" hidden="false" customHeight="false" outlineLevel="0" collapsed="false">
      <c r="A32" s="4" t="s">
        <v>208</v>
      </c>
      <c r="B32" s="19" t="n">
        <v>30</v>
      </c>
    </row>
    <row r="33" customFormat="false" ht="15" hidden="false" customHeight="false" outlineLevel="0" collapsed="false">
      <c r="A33" s="4" t="s">
        <v>209</v>
      </c>
      <c r="B33" s="19" t="n">
        <v>0</v>
      </c>
    </row>
    <row r="34" customFormat="false" ht="15" hidden="false" customHeight="false" outlineLevel="0" collapsed="false">
      <c r="A34" s="4" t="s">
        <v>210</v>
      </c>
      <c r="B34" s="19" t="n">
        <v>0</v>
      </c>
    </row>
    <row r="36" customFormat="false" ht="42.75" hidden="false" customHeight="true" outlineLevel="0" collapsed="false">
      <c r="A36" s="8" t="s">
        <v>211</v>
      </c>
      <c r="B36" s="8"/>
      <c r="C36" s="8"/>
      <c r="D36" s="8"/>
      <c r="E36" s="8"/>
      <c r="F36" s="8"/>
    </row>
  </sheetData>
  <mergeCells count="1">
    <mergeCell ref="A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3" t="s">
        <v>212</v>
      </c>
      <c r="B1" s="3" t="s">
        <v>213</v>
      </c>
      <c r="C1" s="3" t="s">
        <v>214</v>
      </c>
      <c r="D1" s="3" t="s">
        <v>215</v>
      </c>
    </row>
    <row r="2" customFormat="false" ht="23.85" hidden="false" customHeight="false" outlineLevel="0" collapsed="false">
      <c r="A2" s="4" t="s">
        <v>216</v>
      </c>
      <c r="B2" s="4" t="s">
        <v>217</v>
      </c>
      <c r="C2" s="14" t="s">
        <v>70</v>
      </c>
      <c r="D2" s="4" t="s">
        <v>218</v>
      </c>
    </row>
    <row r="3" customFormat="false" ht="23.85" hidden="false" customHeight="false" outlineLevel="0" collapsed="false">
      <c r="A3" s="4" t="s">
        <v>219</v>
      </c>
      <c r="B3" s="4" t="s">
        <v>220</v>
      </c>
      <c r="C3" s="14" t="s">
        <v>70</v>
      </c>
      <c r="D3" s="4" t="s">
        <v>218</v>
      </c>
    </row>
    <row r="4" customFormat="false" ht="15" hidden="false" customHeight="false" outlineLevel="0" collapsed="false">
      <c r="A4" s="4" t="s">
        <v>221</v>
      </c>
      <c r="B4" s="4" t="s">
        <v>222</v>
      </c>
      <c r="C4" s="14" t="s">
        <v>70</v>
      </c>
      <c r="D4" s="4" t="s">
        <v>223</v>
      </c>
    </row>
    <row r="5" customFormat="false" ht="15" hidden="false" customHeight="false" outlineLevel="0" collapsed="false">
      <c r="A5" s="4" t="s">
        <v>224</v>
      </c>
      <c r="B5" s="4" t="s">
        <v>225</v>
      </c>
      <c r="C5" s="14" t="s">
        <v>70</v>
      </c>
      <c r="D5" s="4" t="s">
        <v>226</v>
      </c>
    </row>
    <row r="7" customFormat="false" ht="16.5" hidden="false" customHeight="true" outlineLevel="0" collapsed="false">
      <c r="A7" s="8" t="s">
        <v>227</v>
      </c>
      <c r="B7" s="8"/>
      <c r="C7" s="8"/>
      <c r="D7" s="8"/>
    </row>
  </sheetData>
  <mergeCells count="1">
    <mergeCell ref="A7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2026-10-28T22:04:53Z</dcterms:created>
  <dc:creator>openpyxl</dc:creator>
  <dc:description/>
  <dc:language>en-US</dc:language>
  <cp:lastModifiedBy/>
  <dcterms:modified xsi:type="dcterms:W3CDTF">2026-10-28T22:04:53Z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